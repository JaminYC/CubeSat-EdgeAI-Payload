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es" sheetId="1" state="visible" r:id="rId1"/>
    <sheet xmlns:r="http://schemas.openxmlformats.org/officeDocument/2006/relationships" name="Fases" sheetId="2" state="visible" r:id="rId2"/>
    <sheet xmlns:r="http://schemas.openxmlformats.org/officeDocument/2006/relationships" name="Por_scan" sheetId="3" state="visible" r:id="rId3"/>
    <sheet xmlns:r="http://schemas.openxmlformats.org/officeDocument/2006/relationships" name="Por_orbita" sheetId="4" state="visible" r:id="rId4"/>
    <sheet xmlns:r="http://schemas.openxmlformats.org/officeDocument/2006/relationships" name="Mediciones_rea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0.000"/>
    <numFmt numFmtId="165" formatCode="0.00 &quot;W&quot;"/>
    <numFmt numFmtId="166" formatCode="0.0 &quot;J&quot;"/>
    <numFmt numFmtId="167" formatCode="0 &quot;s&quot;"/>
    <numFmt numFmtId="168" formatCode="0.00 &quot;W&quot; &quot;prom&quot;"/>
    <numFmt numFmtId="169" formatCode="0.00 &quot;V&quot;"/>
    <numFmt numFmtId="170" formatCode="0.0000 &quot;Wh&quot;"/>
    <numFmt numFmtId="171" formatCode="0.00 &quot;mAh&quot;"/>
    <numFmt numFmtId="172" formatCode="0 &quot;min&quot;"/>
    <numFmt numFmtId="173" formatCode="0.000 &quot;Wh&quot;"/>
    <numFmt numFmtId="174" formatCode="0.0 &quot;mAh&quot;"/>
    <numFmt numFmtId="175" formatCode="0 &quot;mAh&quot;"/>
    <numFmt numFmtId="176" formatCode="0.0 &quot;%&quot;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  <font>
      <i val="1"/>
      <color rgb="0071809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2C5282"/>
      </patternFill>
    </fill>
    <fill>
      <patternFill patternType="solid">
        <fgColor rgb="00F7FAFC"/>
      </patternFill>
    </fill>
    <fill>
      <patternFill patternType="solid">
        <fgColor rgb="00EBF8FF"/>
      </patternFill>
    </fill>
    <fill>
      <patternFill patternType="solid">
        <fgColor rgb="00C6F6D5"/>
      </patternFill>
    </fill>
    <fill>
      <patternFill patternType="solid">
        <fgColor rgb="00FEF5E7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5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4" fillId="0" borderId="0" pivotButton="0" quotePrefix="0" xfId="0"/>
    <xf numFmtId="2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left" vertical="center"/>
    </xf>
    <xf numFmtId="2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left" vertical="center"/>
    </xf>
    <xf numFmtId="167" fontId="0" fillId="5" borderId="1" applyAlignment="1" pivotButton="0" quotePrefix="0" xfId="0">
      <alignment horizontal="left" vertical="center"/>
    </xf>
    <xf numFmtId="168" fontId="0" fillId="5" borderId="1" applyAlignment="1" pivotButton="0" quotePrefix="0" xfId="0">
      <alignment horizontal="left" vertical="center"/>
    </xf>
    <xf numFmtId="166" fontId="0" fillId="5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169" fontId="0" fillId="6" borderId="1" applyAlignment="1" pivotButton="0" quotePrefix="0" xfId="0">
      <alignment horizontal="center" vertical="center"/>
    </xf>
    <xf numFmtId="166" fontId="0" fillId="6" borderId="1" applyAlignment="1" pivotButton="0" quotePrefix="0" xfId="0">
      <alignment horizontal="center" vertical="center"/>
    </xf>
    <xf numFmtId="170" fontId="0" fillId="6" borderId="1" applyAlignment="1" pivotButton="0" quotePrefix="0" xfId="0">
      <alignment horizontal="center" vertical="center"/>
    </xf>
    <xf numFmtId="171" fontId="0" fillId="6" borderId="1" applyAlignment="1" pivotButton="0" quotePrefix="0" xfId="0">
      <alignment horizontal="center" vertical="center"/>
    </xf>
    <xf numFmtId="167" fontId="0" fillId="6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0" fontId="5" fillId="3" borderId="0" pivotButton="0" quotePrefix="0" xfId="0"/>
    <xf numFmtId="172" fontId="0" fillId="7" borderId="1" applyAlignment="1" pivotButton="0" quotePrefix="0" xfId="0">
      <alignment horizontal="center" vertical="center"/>
    </xf>
    <xf numFmtId="1" fontId="0" fillId="7" borderId="1" applyAlignment="1" pivotButton="0" quotePrefix="0" xfId="0">
      <alignment horizontal="center" vertical="center"/>
    </xf>
    <xf numFmtId="165" fontId="0" fillId="7" borderId="1" applyAlignment="1" pivotButton="0" quotePrefix="0" xfId="0">
      <alignment horizontal="center" vertical="center"/>
    </xf>
    <xf numFmtId="169" fontId="0" fillId="7" borderId="1" applyAlignment="1" pivotButton="0" quotePrefix="0" xfId="0">
      <alignment horizontal="center" vertical="center"/>
    </xf>
    <xf numFmtId="173" fontId="0" fillId="6" borderId="1" applyAlignment="1" pivotButton="0" quotePrefix="0" xfId="0">
      <alignment horizontal="center" vertical="center"/>
    </xf>
    <xf numFmtId="174" fontId="0" fillId="6" borderId="1" applyAlignment="1" pivotButton="0" quotePrefix="0" xfId="0">
      <alignment horizontal="center" vertical="center"/>
    </xf>
    <xf numFmtId="175" fontId="0" fillId="6" borderId="1" applyAlignment="1" pivotButton="0" quotePrefix="0" xfId="0">
      <alignment horizontal="center" vertical="center"/>
    </xf>
    <xf numFmtId="0" fontId="0" fillId="7" borderId="1" pivotButton="0" quotePrefix="0" xfId="0"/>
    <xf numFmtId="166" fontId="0" fillId="6" borderId="1" pivotButton="0" quotePrefix="0" xfId="0"/>
    <xf numFmtId="176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0" customWidth="1" min="5" max="5"/>
    <col width="24" customWidth="1" min="6" max="6"/>
  </cols>
  <sheetData>
    <row r="1" ht="24" customHeight="1">
      <c r="A1" s="1" t="inlineStr">
        <is>
          <t>Potencia por componente (datasheet)</t>
        </is>
      </c>
    </row>
    <row r="3">
      <c r="A3" s="2" t="inlineStr">
        <is>
          <t>Componente</t>
        </is>
      </c>
      <c r="B3" s="2" t="inlineStr">
        <is>
          <t>P idle (W)</t>
        </is>
      </c>
      <c r="C3" s="2" t="inlineStr">
        <is>
          <t>P activo (W)</t>
        </is>
      </c>
      <c r="D3" s="2" t="inlineStr">
        <is>
          <t>P pico (W)</t>
        </is>
      </c>
      <c r="E3" s="2" t="inlineStr">
        <is>
          <t>Cantidad</t>
        </is>
      </c>
      <c r="F3" s="2" t="inlineStr">
        <is>
          <t>Fuente</t>
        </is>
      </c>
    </row>
    <row r="4">
      <c r="A4" s="3" t="inlineStr">
        <is>
          <t>Raspberry Pi 5 (4 GB)</t>
        </is>
      </c>
      <c r="B4" s="4" t="n">
        <v>3</v>
      </c>
      <c r="C4" s="4" t="n">
        <v>5.5</v>
      </c>
      <c r="D4" s="4" t="n">
        <v>8</v>
      </c>
      <c r="E4" s="5" t="n">
        <v>1</v>
      </c>
      <c r="F4" s="3" t="inlineStr">
        <is>
          <t>RPi Foundation</t>
        </is>
      </c>
    </row>
    <row r="5">
      <c r="A5" s="6" t="inlineStr">
        <is>
          <t>OV5647 sensor</t>
        </is>
      </c>
      <c r="B5" s="7" t="n">
        <v>0.05</v>
      </c>
      <c r="C5" s="7" t="n">
        <v>0.2</v>
      </c>
      <c r="D5" s="7" t="n">
        <v>0.3</v>
      </c>
      <c r="E5" s="8" t="n">
        <v>1</v>
      </c>
      <c r="F5" s="6" t="inlineStr">
        <is>
          <t>OmniVision DS</t>
        </is>
      </c>
    </row>
    <row r="6">
      <c r="A6" s="3" t="inlineStr">
        <is>
          <t>OLED SSD1351 (50% pixels)</t>
        </is>
      </c>
      <c r="B6" s="4" t="n">
        <v>0</v>
      </c>
      <c r="C6" s="4" t="n">
        <v>0.25</v>
      </c>
      <c r="D6" s="4" t="n">
        <v>0.8</v>
      </c>
      <c r="E6" s="5" t="n">
        <v>1</v>
      </c>
      <c r="F6" s="3" t="inlineStr">
        <is>
          <t>Solomon Systech</t>
        </is>
      </c>
    </row>
    <row r="7">
      <c r="A7" s="6" t="inlineStr">
        <is>
          <t>TXS0108E level shifter</t>
        </is>
      </c>
      <c r="B7" s="7" t="n">
        <v>0.005</v>
      </c>
      <c r="C7" s="7" t="n">
        <v>0.01</v>
      </c>
      <c r="D7" s="7" t="n">
        <v>0.02</v>
      </c>
      <c r="E7" s="8" t="n">
        <v>1</v>
      </c>
      <c r="F7" s="6" t="inlineStr">
        <is>
          <t>TI</t>
        </is>
      </c>
    </row>
    <row r="8">
      <c r="A8" s="3" t="inlineStr">
        <is>
          <t>MCP2515 CAN transceiver*</t>
        </is>
      </c>
      <c r="B8" s="4" t="n">
        <v>0.04</v>
      </c>
      <c r="C8" s="4" t="n">
        <v>0.08</v>
      </c>
      <c r="D8" s="4" t="n">
        <v>0.1</v>
      </c>
      <c r="E8" s="5" t="n">
        <v>1</v>
      </c>
      <c r="F8" s="3" t="inlineStr">
        <is>
          <t>Microchip (opcional)</t>
        </is>
      </c>
    </row>
    <row r="9">
      <c r="A9" s="6" t="inlineStr">
        <is>
          <t>INA219 sensor I2C*</t>
        </is>
      </c>
      <c r="B9" s="7" t="n">
        <v>0.005</v>
      </c>
      <c r="C9" s="7" t="n">
        <v>0.005</v>
      </c>
      <c r="D9" s="7" t="n">
        <v>0.005</v>
      </c>
      <c r="E9" s="8" t="n">
        <v>1</v>
      </c>
      <c r="F9" s="6" t="inlineStr">
        <is>
          <t>TI (opcional)</t>
        </is>
      </c>
    </row>
    <row r="10">
      <c r="A10" s="9" t="inlineStr">
        <is>
          <t>TOTAL (todos activos)</t>
        </is>
      </c>
      <c r="B10" s="10">
        <f>SUMPRODUCT(B4:B9,E4:E9)</f>
        <v/>
      </c>
      <c r="C10" s="10">
        <f>SUMPRODUCT(C4:C9,E4:E9)</f>
        <v/>
      </c>
      <c r="D10" s="10">
        <f>SUMPRODUCT(D4:D9,E4:E9)</f>
        <v/>
      </c>
      <c r="E10" s="11" t="inlineStr">
        <is>
          <t>—</t>
        </is>
      </c>
      <c r="F10" s="11" t="inlineStr">
        <is>
          <t>—</t>
        </is>
      </c>
    </row>
    <row r="12">
      <c r="A12" s="12" t="inlineStr">
        <is>
          <t>* Componentes opcionales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28" customWidth="1" min="4" max="4"/>
    <col width="18" customWidth="1" min="5" max="5"/>
    <col width="28" customWidth="1" min="6" max="6"/>
  </cols>
  <sheetData>
    <row r="1" ht="24" customHeight="1">
      <c r="A1" s="1" t="inlineStr">
        <is>
          <t>Duracion y potencia por fase del pipeline</t>
        </is>
      </c>
    </row>
    <row r="3">
      <c r="A3" s="2" t="inlineStr">
        <is>
          <t>Fase</t>
        </is>
      </c>
      <c r="B3" s="2" t="inlineStr">
        <is>
          <t>Duracion (s)</t>
        </is>
      </c>
      <c r="C3" s="2" t="inlineStr">
        <is>
          <t>P media estimada (W)</t>
        </is>
      </c>
      <c r="D3" s="2" t="inlineStr">
        <is>
          <t>Componentes activos</t>
        </is>
      </c>
      <c r="E3" s="2" t="inlineStr">
        <is>
          <t>Energia E = P·t (J)</t>
        </is>
      </c>
      <c r="F3" s="2" t="inlineStr">
        <is>
          <t>Notas</t>
        </is>
      </c>
    </row>
    <row r="4">
      <c r="A4" s="3" t="inlineStr">
        <is>
          <t>IDLE pre-scan</t>
        </is>
      </c>
      <c r="B4" s="5" t="n">
        <v>5</v>
      </c>
      <c r="C4" s="13" t="n">
        <v>3.05</v>
      </c>
      <c r="D4" s="3" t="inlineStr">
        <is>
          <t>RPi solo</t>
        </is>
      </c>
      <c r="E4" s="14">
        <f>B4*C4</f>
        <v/>
      </c>
      <c r="F4" s="3" t="inlineStr">
        <is>
          <t>espera comando</t>
        </is>
      </c>
    </row>
    <row r="5">
      <c r="A5" s="6" t="inlineStr">
        <is>
          <t>CAPTURING</t>
        </is>
      </c>
      <c r="B5" s="8" t="n">
        <v>8</v>
      </c>
      <c r="C5" s="15" t="n">
        <v>5.95</v>
      </c>
      <c r="D5" s="6" t="inlineStr">
        <is>
          <t>RPi + OLED + sensor</t>
        </is>
      </c>
      <c r="E5" s="16">
        <f>B5*C5</f>
        <v/>
      </c>
      <c r="F5" s="6" t="inlineStr">
        <is>
          <t>25 angulos OLED</t>
        </is>
      </c>
    </row>
    <row r="6">
      <c r="A6" s="3" t="inlineStr">
        <is>
          <t>PROCESSING</t>
        </is>
      </c>
      <c r="B6" s="5" t="n">
        <v>30</v>
      </c>
      <c r="C6" s="13" t="n">
        <v>7.5</v>
      </c>
      <c r="D6" s="3" t="inlineStr">
        <is>
          <t>RPi (CPU 100%)</t>
        </is>
      </c>
      <c r="E6" s="14">
        <f>B6*C6</f>
        <v/>
      </c>
      <c r="F6" s="3" t="inlineStr">
        <is>
          <t>StarDist + CLAHE</t>
        </is>
      </c>
    </row>
    <row r="7">
      <c r="A7" s="6" t="inlineStr">
        <is>
          <t>DOWNLINK</t>
        </is>
      </c>
      <c r="B7" s="8" t="n">
        <v>10</v>
      </c>
      <c r="C7" s="15" t="n">
        <v>4</v>
      </c>
      <c r="D7" s="6" t="inlineStr">
        <is>
          <t>RPi + I2C</t>
        </is>
      </c>
      <c r="E7" s="16">
        <f>B7*C7</f>
        <v/>
      </c>
      <c r="F7" s="6" t="inlineStr">
        <is>
          <t>thumbnail 100 KB</t>
        </is>
      </c>
    </row>
    <row r="8">
      <c r="A8" s="3" t="inlineStr">
        <is>
          <t>IDLE post</t>
        </is>
      </c>
      <c r="B8" s="5" t="n">
        <v>5</v>
      </c>
      <c r="C8" s="13" t="n">
        <v>3.05</v>
      </c>
      <c r="D8" s="3" t="inlineStr">
        <is>
          <t>RPi solo</t>
        </is>
      </c>
      <c r="E8" s="14">
        <f>B8*C8</f>
        <v/>
      </c>
      <c r="F8" s="3" t="inlineStr">
        <is>
          <t>espera proximo cmd</t>
        </is>
      </c>
    </row>
    <row r="9">
      <c r="A9" s="9" t="inlineStr">
        <is>
          <t>TOTAL POR SCAN</t>
        </is>
      </c>
      <c r="B9" s="17">
        <f>SUM(B4:B8)</f>
        <v/>
      </c>
      <c r="C9" s="18">
        <f>SUMPRODUCT(B4:B8,C4:C8)/SUM(B4:B8)</f>
        <v/>
      </c>
      <c r="D9" s="11" t="inlineStr">
        <is>
          <t>—</t>
        </is>
      </c>
      <c r="E9" s="19">
        <f>SUM(E4:E8)</f>
        <v/>
      </c>
      <c r="F9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</cols>
  <sheetData>
    <row r="1" ht="24" customHeight="1">
      <c r="A1" s="1" t="inlineStr">
        <is>
          <t>Resumen energetico por scan</t>
        </is>
      </c>
    </row>
    <row r="3">
      <c r="A3" s="20" t="inlineStr">
        <is>
          <t>Magnitud</t>
        </is>
      </c>
      <c r="B3" s="20" t="inlineStr">
        <is>
          <t>Valor</t>
        </is>
      </c>
    </row>
    <row r="4">
      <c r="A4" s="3" t="inlineStr">
        <is>
          <t>Voltaje del rail</t>
        </is>
      </c>
      <c r="B4" s="21" t="inlineStr">
        <is>
          <t>5.0</t>
        </is>
      </c>
    </row>
    <row r="5">
      <c r="A5" s="6" t="inlineStr">
        <is>
          <t>Energia total por scan (J)</t>
        </is>
      </c>
      <c r="B5" s="22">
        <f>Fases!E9</f>
        <v/>
      </c>
    </row>
    <row r="6">
      <c r="A6" s="3" t="inlineStr">
        <is>
          <t>Energia total por scan (Wh)</t>
        </is>
      </c>
      <c r="B6" s="23">
        <f>B5/3600</f>
        <v/>
      </c>
    </row>
    <row r="7">
      <c r="A7" s="6" t="inlineStr">
        <is>
          <t>Carga (mAh) por scan</t>
        </is>
      </c>
      <c r="B7" s="24">
        <f>(B5/B4)/3.6</f>
        <v/>
      </c>
    </row>
    <row r="8">
      <c r="A8" s="3" t="inlineStr">
        <is>
          <t>Duracion total del scan (s)</t>
        </is>
      </c>
      <c r="B8" s="25">
        <f>Fases!B9</f>
        <v/>
      </c>
    </row>
    <row r="9">
      <c r="A9" s="6" t="inlineStr">
        <is>
          <t>Potencia media</t>
        </is>
      </c>
      <c r="B9" s="26">
        <f>B5/B8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 ht="24" customHeight="1">
      <c r="A1" s="1" t="inlineStr">
        <is>
          <t>Presupuesto energetico por orbita</t>
        </is>
      </c>
    </row>
    <row r="3">
      <c r="A3" s="27" t="inlineStr">
        <is>
          <t>ENTRADAS (modificar)</t>
        </is>
      </c>
    </row>
    <row r="4">
      <c r="A4" s="3" t="inlineStr">
        <is>
          <t>Duracion de la orbita (min)</t>
        </is>
      </c>
      <c r="B4" s="28" t="n">
        <v>90</v>
      </c>
    </row>
    <row r="5">
      <c r="A5" s="3" t="inlineStr">
        <is>
          <t>Numero de scans por orbita</t>
        </is>
      </c>
      <c r="B5" s="29" t="n">
        <v>4</v>
      </c>
    </row>
    <row r="6">
      <c r="A6" s="3" t="inlineStr">
        <is>
          <t>Tiempo en SAFE / sleep (min)</t>
        </is>
      </c>
      <c r="B6" s="28" t="n">
        <v>60</v>
      </c>
    </row>
    <row r="7">
      <c r="A7" s="3" t="inlineStr">
        <is>
          <t>Potencia en SAFE (W)</t>
        </is>
      </c>
      <c r="B7" s="30" t="n">
        <v>1</v>
      </c>
    </row>
    <row r="8">
      <c r="A8" s="3" t="inlineStr">
        <is>
          <t>Tension del rail (V)</t>
        </is>
      </c>
      <c r="B8" s="31" t="n">
        <v>5</v>
      </c>
    </row>
    <row r="11">
      <c r="A11" s="27" t="inlineStr">
        <is>
          <t>SALIDAS (calculadas)</t>
        </is>
      </c>
    </row>
    <row r="12">
      <c r="A12" s="3" t="inlineStr">
        <is>
          <t>Energia activa por orbita (J)</t>
        </is>
      </c>
      <c r="B12" s="22">
        <f>Por_scan!B5*B5</f>
        <v/>
      </c>
    </row>
    <row r="13">
      <c r="A13" s="3" t="inlineStr">
        <is>
          <t>Energia en SAFE por orbita (J)</t>
        </is>
      </c>
      <c r="B13" s="22">
        <f>B6*60*B7</f>
        <v/>
      </c>
    </row>
    <row r="14">
      <c r="A14" s="3" t="inlineStr">
        <is>
          <t>Energia total por orbita (J)</t>
        </is>
      </c>
      <c r="B14" s="22">
        <f>B12+B13</f>
        <v/>
      </c>
    </row>
    <row r="15">
      <c r="A15" s="3" t="inlineStr">
        <is>
          <t>Energia total por orbita (Wh)</t>
        </is>
      </c>
      <c r="B15" s="32">
        <f>B14/3600</f>
        <v/>
      </c>
    </row>
    <row r="16">
      <c r="A16" s="3" t="inlineStr">
        <is>
          <t>Carga total por orbita (mAh)</t>
        </is>
      </c>
      <c r="B16" s="33">
        <f>(B14/B8)/3.6</f>
        <v/>
      </c>
    </row>
    <row r="17">
      <c r="A17" s="3" t="inlineStr">
        <is>
          <t>Potencia promedio orbital (W)</t>
        </is>
      </c>
      <c r="B17" s="26">
        <f>B14/(B4*60)</f>
        <v/>
      </c>
    </row>
    <row r="18">
      <c r="A18" s="3" t="inlineStr">
        <is>
          <t>Bateria sugerida (margen 50%, mAh)</t>
        </is>
      </c>
      <c r="B18" s="34">
        <f>B16*1.5</f>
        <v/>
      </c>
    </row>
  </sheetData>
  <mergeCells count="3">
    <mergeCell ref="A1:D1"/>
    <mergeCell ref="A3:B3"/>
    <mergeCell ref="A11:B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6" customWidth="1" min="5" max="5"/>
    <col width="22" customWidth="1" min="6" max="6"/>
  </cols>
  <sheetData>
    <row r="1" ht="24" customHeight="1">
      <c r="A1" s="1" t="inlineStr">
        <is>
          <t>Mediciones experimentales (INA219)</t>
        </is>
      </c>
    </row>
    <row r="3">
      <c r="A3" s="12" t="inlineStr">
        <is>
          <t>Pegar aqui los valores reales medidos con tools/power_profiler.py para validar las estimaciones.</t>
        </is>
      </c>
    </row>
    <row r="5">
      <c r="A5" s="2" t="inlineStr">
        <is>
          <t>Fase</t>
        </is>
      </c>
      <c r="B5" s="2" t="inlineStr">
        <is>
          <t>P media medida (W)</t>
        </is>
      </c>
      <c r="C5" s="2" t="inlineStr">
        <is>
          <t>P pico medida (W)</t>
        </is>
      </c>
      <c r="D5" s="2" t="inlineStr">
        <is>
          <t>Duracion medida (s)</t>
        </is>
      </c>
      <c r="E5" s="2" t="inlineStr">
        <is>
          <t>E medida (J)</t>
        </is>
      </c>
      <c r="F5" s="2" t="inlineStr">
        <is>
          <t>Diferencia vs estimado (%)</t>
        </is>
      </c>
    </row>
    <row r="6">
      <c r="A6" s="3" t="inlineStr">
        <is>
          <t>IDLE pre-scan</t>
        </is>
      </c>
      <c r="B6" s="35" t="inlineStr"/>
      <c r="C6" s="35" t="inlineStr"/>
      <c r="D6" s="35" t="inlineStr"/>
      <c r="E6" s="36">
        <f>B6*D6</f>
        <v/>
      </c>
      <c r="F6" s="37">
        <f>IFERROR(((B6-Fases!C4)/Fases!C4)*100,"")</f>
        <v/>
      </c>
    </row>
    <row r="7">
      <c r="A7" s="3" t="inlineStr">
        <is>
          <t>CAPTURING</t>
        </is>
      </c>
      <c r="B7" s="35" t="inlineStr"/>
      <c r="C7" s="35" t="inlineStr"/>
      <c r="D7" s="35" t="inlineStr"/>
      <c r="E7" s="36">
        <f>B7*D7</f>
        <v/>
      </c>
      <c r="F7" s="37">
        <f>IFERROR(((B7-Fases!C5)/Fases!C5)*100,"")</f>
        <v/>
      </c>
    </row>
    <row r="8">
      <c r="A8" s="3" t="inlineStr">
        <is>
          <t>PROCESSING</t>
        </is>
      </c>
      <c r="B8" s="35" t="inlineStr"/>
      <c r="C8" s="35" t="inlineStr"/>
      <c r="D8" s="35" t="inlineStr"/>
      <c r="E8" s="36">
        <f>B8*D8</f>
        <v/>
      </c>
      <c r="F8" s="37">
        <f>IFERROR(((B8-Fases!C6)/Fases!C6)*100,"")</f>
        <v/>
      </c>
    </row>
    <row r="9">
      <c r="A9" s="3" t="inlineStr">
        <is>
          <t>DOWNLINK</t>
        </is>
      </c>
      <c r="B9" s="35" t="inlineStr"/>
      <c r="C9" s="35" t="inlineStr"/>
      <c r="D9" s="35" t="inlineStr"/>
      <c r="E9" s="36">
        <f>B9*D9</f>
        <v/>
      </c>
      <c r="F9" s="37">
        <f>IFERROR(((B9-Fases!C7)/Fases!C7)*100,"")</f>
        <v/>
      </c>
    </row>
    <row r="10">
      <c r="A10" s="3" t="inlineStr">
        <is>
          <t>IDLE post</t>
        </is>
      </c>
      <c r="B10" s="35" t="inlineStr"/>
      <c r="C10" s="35" t="inlineStr"/>
      <c r="D10" s="35" t="inlineStr"/>
      <c r="E10" s="36">
        <f>B10*D10</f>
        <v/>
      </c>
      <c r="F10" s="37">
        <f>IFERROR(((B10-Fases!C8)/Fases!C8)*100,"")</f>
        <v/>
      </c>
    </row>
  </sheetData>
  <mergeCells count="2">
    <mergeCell ref="A3:F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2026-05-04T15:27:28Z</dcterms:created>
  <dcterms:modified xmlns:dcterms="http://purl.org/dc/terms/" xmlns:xsi="http://www.w3.org/2001/XMLSchema-instance" xsi:type="dcterms:W3CDTF">2026-05-04T15:27:28Z</dcterms:modified>
</cp:coreProperties>
</file>