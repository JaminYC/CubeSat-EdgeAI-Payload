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<sst xmlns="http://schemas.openxmlformats.org/spreadsheetml/2006/main" count="134" uniqueCount="41">
  <si>
    <t>Carga</t>
  </si>
  <si>
    <t>Dispositivo</t>
  </si>
  <si>
    <t>Descripción</t>
  </si>
  <si>
    <t>Voltaje (V)</t>
  </si>
  <si>
    <t>Corriente máxima (mA)</t>
  </si>
  <si>
    <t>Potencia (mW)</t>
  </si>
  <si>
    <t>Cantidad</t>
  </si>
  <si>
    <t>Corriente total máxima (mA)</t>
  </si>
  <si>
    <t>Potencia total máxima (mW)</t>
  </si>
  <si>
    <t>OBC</t>
  </si>
  <si>
    <t>DGQ2788A</t>
  </si>
  <si>
    <t>Isolador</t>
  </si>
  <si>
    <t>ECOC-9775-25.000-DN-TR</t>
  </si>
  <si>
    <t>Oscilador OCXO</t>
  </si>
  <si>
    <t>MCP9804T-E_MS</t>
  </si>
  <si>
    <t>Sensor de Temperatura</t>
  </si>
  <si>
    <t>TPS22965NTDSGRQ1</t>
  </si>
  <si>
    <t>Habilitador de energía</t>
  </si>
  <si>
    <t>STM32</t>
  </si>
  <si>
    <t>Microcontrolador</t>
  </si>
  <si>
    <t>S25FL256LAGNFM010</t>
  </si>
  <si>
    <t>Memoria de alta velocidad</t>
  </si>
  <si>
    <t>CY15B102Q-SXM</t>
  </si>
  <si>
    <t>Memoria de baja velocidad</t>
  </si>
  <si>
    <t>TPS25940AQRVCTQ1</t>
  </si>
  <si>
    <t>Fusible electrónico</t>
  </si>
  <si>
    <t xml:space="preserve">TCA4311ADGKR
</t>
  </si>
  <si>
    <t>Buffers</t>
  </si>
  <si>
    <t xml:space="preserve">74LVC1G11GN,132
</t>
  </si>
  <si>
    <t>Compuerta AND</t>
  </si>
  <si>
    <t>Consumo total máximo de corriente (A)</t>
  </si>
  <si>
    <t>Consumo total máximo de potencia (W)</t>
  </si>
  <si>
    <t>TCAN1051-Q1</t>
  </si>
  <si>
    <t>Transceiver CANBUS</t>
  </si>
  <si>
    <t>CONTROLADOR DE CARGAS ÚTILES</t>
  </si>
  <si>
    <t>CARACTERIZACIÓN DE LA CONTAMINACIÓN LUMÍNICA EN ÓRBITA TERRESTRE BAJA</t>
  </si>
  <si>
    <t>MICROSCOPÍA BASADA EN SENSORES DE IMAGEN CMOS</t>
  </si>
  <si>
    <t>SISTEMA DE DETERMINACIÓN DE ÓRBITA</t>
  </si>
  <si>
    <t>IMÁGENES DE SUPERRESOLUCIÓN MEDIANTE INTELIGENCIA ARTIFICIAL</t>
  </si>
  <si>
    <t>BANDA UHF</t>
  </si>
  <si>
    <t>BANDA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</si>
</sst>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5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2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3" fillId="0" fontId="3" numFmtId="0" xfId="0" applyBorder="1" applyFont="1"/>
    <xf borderId="2" fillId="0" fontId="2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 readingOrder="0"/>
    </xf>
    <xf borderId="4" fillId="0" fontId="3" numFmtId="0" xfId="0" applyBorder="1" applyFont="1"/>
    <xf borderId="1" fillId="4" fontId="2" numFmtId="0" xfId="0" applyAlignment="1" applyBorder="1" applyFill="1" applyFont="1">
      <alignment horizontal="center" readingOrder="0"/>
    </xf>
    <xf borderId="1" fillId="4" fontId="1" numFmtId="0" xfId="0" applyAlignment="1" applyBorder="1" applyFont="1">
      <alignment horizontal="center" readingOrder="0"/>
    </xf>
    <xf borderId="5" fillId="0" fontId="2" numFmtId="0" xfId="0" applyAlignment="1" applyBorder="1" applyFont="1">
      <alignment horizontal="center" readingOrder="0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1" fillId="4" fontId="2" numFmtId="0" xfId="0" applyAlignment="1" applyBorder="1" applyFont="1">
      <alignment horizontal="center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22.5"/>
    <col customWidth="1" min="3" max="3" width="22.63"/>
    <col customWidth="1" min="5" max="5" width="24.0"/>
    <col customWidth="1" min="6" max="6" width="14.0"/>
    <col customWidth="1" min="8" max="8" width="33.38"/>
    <col customWidth="1" min="9" max="9" width="34.5"/>
  </cols>
  <sheetData>
    <row r="6">
      <c r="A6" s="1" t="s">
        <v>0</v>
      </c>
      <c r="B6" s="1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1" t="s">
        <v>6</v>
      </c>
      <c r="H6" s="3" t="s">
        <v>7</v>
      </c>
      <c r="I6" s="3" t="s">
        <v>8</v>
      </c>
    </row>
    <row r="7">
      <c r="A7" s="4" t="s">
        <v>9</v>
      </c>
      <c r="B7" s="5" t="s">
        <v>10</v>
      </c>
      <c r="C7" s="5" t="s">
        <v>11</v>
      </c>
      <c r="D7" s="5">
        <v>3.3</v>
      </c>
      <c r="E7" s="5">
        <v>0.06</v>
      </c>
      <c r="F7" s="6">
        <f t="shared" ref="F7:F16" si="1">D7*E7</f>
        <v>0.198</v>
      </c>
      <c r="G7" s="5">
        <v>15.0</v>
      </c>
      <c r="H7" s="6">
        <f t="shared" ref="H7:H16" si="2">E7*G7</f>
        <v>0.9</v>
      </c>
      <c r="I7" s="6">
        <f t="shared" ref="I7:I16" si="3">F7*G7</f>
        <v>2.97</v>
      </c>
    </row>
    <row r="8">
      <c r="A8" s="7"/>
      <c r="B8" s="5" t="s">
        <v>12</v>
      </c>
      <c r="C8" s="5" t="s">
        <v>13</v>
      </c>
      <c r="D8" s="5">
        <v>3.3</v>
      </c>
      <c r="E8" s="5">
        <v>750.0</v>
      </c>
      <c r="F8" s="6">
        <f t="shared" si="1"/>
        <v>2475</v>
      </c>
      <c r="G8" s="5">
        <v>1.0</v>
      </c>
      <c r="H8" s="6">
        <f t="shared" si="2"/>
        <v>750</v>
      </c>
      <c r="I8" s="6">
        <f t="shared" si="3"/>
        <v>2475</v>
      </c>
    </row>
    <row r="9">
      <c r="A9" s="7"/>
      <c r="B9" s="5" t="s">
        <v>14</v>
      </c>
      <c r="C9" s="5" t="s">
        <v>15</v>
      </c>
      <c r="D9" s="5">
        <v>3.3</v>
      </c>
      <c r="E9" s="5">
        <v>0.4</v>
      </c>
      <c r="F9" s="6">
        <f t="shared" si="1"/>
        <v>1.32</v>
      </c>
      <c r="G9" s="5">
        <v>7.0</v>
      </c>
      <c r="H9" s="6">
        <f t="shared" si="2"/>
        <v>2.8</v>
      </c>
      <c r="I9" s="6">
        <f t="shared" si="3"/>
        <v>9.24</v>
      </c>
    </row>
    <row r="10">
      <c r="A10" s="7"/>
      <c r="B10" s="5" t="s">
        <v>16</v>
      </c>
      <c r="C10" s="5" t="s">
        <v>17</v>
      </c>
      <c r="D10" s="5">
        <v>3.3</v>
      </c>
      <c r="E10" s="5">
        <v>0.075</v>
      </c>
      <c r="F10" s="6">
        <f t="shared" si="1"/>
        <v>0.2475</v>
      </c>
      <c r="G10" s="5">
        <v>2.0</v>
      </c>
      <c r="H10" s="6">
        <f t="shared" si="2"/>
        <v>0.15</v>
      </c>
      <c r="I10" s="6">
        <f t="shared" si="3"/>
        <v>0.495</v>
      </c>
    </row>
    <row r="11">
      <c r="A11" s="7"/>
      <c r="B11" s="5" t="s">
        <v>18</v>
      </c>
      <c r="C11" s="5" t="s">
        <v>19</v>
      </c>
      <c r="D11" s="5">
        <v>3.3</v>
      </c>
      <c r="E11" s="5">
        <v>320.0</v>
      </c>
      <c r="F11" s="6">
        <f t="shared" si="1"/>
        <v>1056</v>
      </c>
      <c r="G11" s="5">
        <v>1.0</v>
      </c>
      <c r="H11" s="6">
        <f t="shared" si="2"/>
        <v>320</v>
      </c>
      <c r="I11" s="6">
        <f t="shared" si="3"/>
        <v>1056</v>
      </c>
    </row>
    <row r="12">
      <c r="A12" s="7"/>
      <c r="B12" s="5" t="s">
        <v>20</v>
      </c>
      <c r="C12" s="5" t="s">
        <v>21</v>
      </c>
      <c r="D12" s="5">
        <v>3.3</v>
      </c>
      <c r="E12" s="5">
        <v>40.0</v>
      </c>
      <c r="F12" s="6">
        <f t="shared" si="1"/>
        <v>132</v>
      </c>
      <c r="G12" s="5">
        <v>3.0</v>
      </c>
      <c r="H12" s="6">
        <f t="shared" si="2"/>
        <v>120</v>
      </c>
      <c r="I12" s="6">
        <f t="shared" si="3"/>
        <v>396</v>
      </c>
    </row>
    <row r="13">
      <c r="A13" s="7"/>
      <c r="B13" s="5" t="s">
        <v>22</v>
      </c>
      <c r="C13" s="5" t="s">
        <v>23</v>
      </c>
      <c r="D13" s="5">
        <v>3.3</v>
      </c>
      <c r="E13" s="5">
        <v>5.0</v>
      </c>
      <c r="F13" s="6">
        <f t="shared" si="1"/>
        <v>16.5</v>
      </c>
      <c r="G13" s="5">
        <v>3.0</v>
      </c>
      <c r="H13" s="6">
        <f t="shared" si="2"/>
        <v>15</v>
      </c>
      <c r="I13" s="6">
        <f t="shared" si="3"/>
        <v>49.5</v>
      </c>
    </row>
    <row r="14">
      <c r="A14" s="7"/>
      <c r="B14" s="5" t="s">
        <v>24</v>
      </c>
      <c r="C14" s="5" t="s">
        <v>25</v>
      </c>
      <c r="D14" s="5">
        <v>3.3</v>
      </c>
      <c r="E14" s="5">
        <v>0.3</v>
      </c>
      <c r="F14" s="6">
        <f t="shared" si="1"/>
        <v>0.99</v>
      </c>
      <c r="G14" s="5">
        <v>1.0</v>
      </c>
      <c r="H14" s="6">
        <f t="shared" si="2"/>
        <v>0.3</v>
      </c>
      <c r="I14" s="6">
        <f t="shared" si="3"/>
        <v>0.99</v>
      </c>
    </row>
    <row r="15">
      <c r="A15" s="7"/>
      <c r="B15" s="8" t="s">
        <v>26</v>
      </c>
      <c r="C15" s="8" t="s">
        <v>27</v>
      </c>
      <c r="D15" s="8">
        <v>3.3</v>
      </c>
      <c r="E15" s="8">
        <v>7.0</v>
      </c>
      <c r="F15" s="6">
        <f t="shared" si="1"/>
        <v>23.1</v>
      </c>
      <c r="G15" s="8">
        <v>3.0</v>
      </c>
      <c r="H15" s="6">
        <f t="shared" si="2"/>
        <v>21</v>
      </c>
      <c r="I15" s="6">
        <f t="shared" si="3"/>
        <v>69.3</v>
      </c>
    </row>
    <row r="16">
      <c r="A16" s="7"/>
      <c r="B16" s="8" t="s">
        <v>28</v>
      </c>
      <c r="C16" s="8" t="s">
        <v>29</v>
      </c>
      <c r="D16" s="8">
        <v>3.3</v>
      </c>
      <c r="E16" s="8">
        <v>0.004</v>
      </c>
      <c r="F16" s="6">
        <f t="shared" si="1"/>
        <v>0.0132</v>
      </c>
      <c r="G16" s="8">
        <v>1.0</v>
      </c>
      <c r="H16" s="6">
        <f t="shared" si="2"/>
        <v>0.004</v>
      </c>
      <c r="I16" s="6">
        <f t="shared" si="3"/>
        <v>0.0132</v>
      </c>
    </row>
    <row r="17">
      <c r="A17" s="7"/>
      <c r="B17" s="9"/>
      <c r="C17" s="10"/>
      <c r="D17" s="10"/>
      <c r="E17" s="10"/>
      <c r="F17" s="10"/>
      <c r="G17" s="10"/>
      <c r="H17" s="11">
        <f t="shared" ref="H17:I17" si="4">SUM(H7:H16)/1000</f>
        <v>1.230154</v>
      </c>
      <c r="I17" s="11">
        <f t="shared" si="4"/>
        <v>4.0595082</v>
      </c>
    </row>
    <row r="18">
      <c r="A18" s="7"/>
      <c r="H18" s="12" t="s">
        <v>30</v>
      </c>
      <c r="I18" s="12" t="s">
        <v>31</v>
      </c>
    </row>
    <row r="19">
      <c r="A19" s="7"/>
      <c r="B19" s="13"/>
      <c r="C19" s="14"/>
      <c r="D19" s="14"/>
      <c r="E19" s="14"/>
      <c r="F19" s="14"/>
      <c r="G19" s="14"/>
      <c r="H19" s="14"/>
      <c r="I19" s="15"/>
    </row>
    <row r="20">
      <c r="A20" s="7"/>
      <c r="B20" s="5" t="s">
        <v>32</v>
      </c>
      <c r="C20" s="5" t="s">
        <v>33</v>
      </c>
      <c r="D20" s="5">
        <v>5.0</v>
      </c>
      <c r="E20" s="5">
        <v>110.0</v>
      </c>
      <c r="F20" s="6">
        <f t="shared" ref="F20:F22" si="5">D20*E20</f>
        <v>550</v>
      </c>
      <c r="G20" s="5">
        <v>2.0</v>
      </c>
      <c r="H20" s="6">
        <f t="shared" ref="H20:H22" si="6">E20*G20</f>
        <v>220</v>
      </c>
      <c r="I20" s="6">
        <f t="shared" ref="I20:I22" si="7">F20*G20</f>
        <v>1100</v>
      </c>
    </row>
    <row r="21">
      <c r="A21" s="7"/>
      <c r="B21" s="5" t="s">
        <v>16</v>
      </c>
      <c r="C21" s="5" t="s">
        <v>17</v>
      </c>
      <c r="D21" s="5">
        <v>5.0</v>
      </c>
      <c r="E21" s="5">
        <v>0.075</v>
      </c>
      <c r="F21" s="6">
        <f t="shared" si="5"/>
        <v>0.375</v>
      </c>
      <c r="G21" s="5">
        <v>1.0</v>
      </c>
      <c r="H21" s="6">
        <f t="shared" si="6"/>
        <v>0.075</v>
      </c>
      <c r="I21" s="6">
        <f t="shared" si="7"/>
        <v>0.375</v>
      </c>
    </row>
    <row r="22">
      <c r="A22" s="16"/>
      <c r="B22" s="5" t="s">
        <v>24</v>
      </c>
      <c r="C22" s="5" t="s">
        <v>25</v>
      </c>
      <c r="D22" s="5">
        <v>5.0</v>
      </c>
      <c r="E22" s="5">
        <v>0.3</v>
      </c>
      <c r="F22" s="6">
        <f t="shared" si="5"/>
        <v>1.5</v>
      </c>
      <c r="G22" s="5">
        <v>1.0</v>
      </c>
      <c r="H22" s="6">
        <f t="shared" si="6"/>
        <v>0.3</v>
      </c>
      <c r="I22" s="6">
        <f t="shared" si="7"/>
        <v>1.5</v>
      </c>
    </row>
    <row r="23">
      <c r="H23" s="17">
        <f t="shared" ref="H23:I23" si="8">SUM(H20:H22)/1000</f>
        <v>0.220375</v>
      </c>
      <c r="I23" s="17">
        <f t="shared" si="8"/>
        <v>1.101875</v>
      </c>
    </row>
    <row r="24">
      <c r="H24" s="12" t="s">
        <v>30</v>
      </c>
      <c r="I24" s="12" t="s">
        <v>31</v>
      </c>
    </row>
    <row r="28">
      <c r="A28" s="1" t="s">
        <v>0</v>
      </c>
      <c r="B28" s="1" t="s">
        <v>1</v>
      </c>
      <c r="C28" s="2" t="s">
        <v>2</v>
      </c>
      <c r="D28" s="2" t="s">
        <v>3</v>
      </c>
      <c r="E28" s="2" t="s">
        <v>4</v>
      </c>
      <c r="F28" s="2" t="s">
        <v>5</v>
      </c>
      <c r="G28" s="1" t="s">
        <v>6</v>
      </c>
      <c r="H28" s="3" t="s">
        <v>7</v>
      </c>
      <c r="I28" s="3" t="s">
        <v>8</v>
      </c>
    </row>
    <row r="29">
      <c r="A29" s="18" t="s">
        <v>34</v>
      </c>
      <c r="B29" s="5"/>
      <c r="C29" s="5"/>
      <c r="D29" s="5"/>
      <c r="E29" s="5"/>
      <c r="F29" s="6"/>
      <c r="G29" s="5"/>
      <c r="H29" s="6"/>
      <c r="I29" s="6"/>
    </row>
    <row r="30">
      <c r="A30" s="7"/>
      <c r="B30" s="5"/>
      <c r="C30" s="5"/>
      <c r="D30" s="5"/>
      <c r="E30" s="5"/>
      <c r="F30" s="6"/>
      <c r="G30" s="5"/>
      <c r="H30" s="6"/>
      <c r="I30" s="6"/>
    </row>
    <row r="31">
      <c r="A31" s="7"/>
      <c r="B31" s="5"/>
      <c r="C31" s="5"/>
      <c r="D31" s="5"/>
      <c r="E31" s="5"/>
      <c r="F31" s="6"/>
      <c r="G31" s="5"/>
      <c r="H31" s="6"/>
      <c r="I31" s="6"/>
    </row>
    <row r="32">
      <c r="A32" s="7"/>
      <c r="B32" s="5"/>
      <c r="C32" s="5"/>
      <c r="D32" s="5"/>
      <c r="E32" s="5"/>
      <c r="F32" s="6"/>
      <c r="G32" s="5"/>
      <c r="H32" s="6"/>
      <c r="I32" s="6"/>
    </row>
    <row r="33">
      <c r="A33" s="7"/>
      <c r="B33" s="5"/>
      <c r="C33" s="5"/>
      <c r="D33" s="5"/>
      <c r="E33" s="5"/>
      <c r="F33" s="6"/>
      <c r="G33" s="5"/>
      <c r="H33" s="6"/>
      <c r="I33" s="6"/>
    </row>
    <row r="34">
      <c r="A34" s="7"/>
      <c r="B34" s="5"/>
      <c r="C34" s="5"/>
      <c r="D34" s="5"/>
      <c r="E34" s="5"/>
      <c r="F34" s="6"/>
      <c r="G34" s="5"/>
      <c r="H34" s="6"/>
      <c r="I34" s="6"/>
    </row>
    <row r="35">
      <c r="A35" s="7"/>
      <c r="B35" s="5"/>
      <c r="C35" s="5"/>
      <c r="D35" s="5"/>
      <c r="E35" s="5"/>
      <c r="F35" s="6"/>
      <c r="G35" s="5"/>
      <c r="H35" s="6"/>
      <c r="I35" s="6"/>
    </row>
    <row r="36">
      <c r="A36" s="7"/>
      <c r="B36" s="5"/>
      <c r="C36" s="5"/>
      <c r="D36" s="5"/>
      <c r="E36" s="5"/>
      <c r="F36" s="6"/>
      <c r="G36" s="5"/>
      <c r="H36" s="6"/>
      <c r="I36" s="6"/>
    </row>
    <row r="37">
      <c r="A37" s="7"/>
      <c r="B37" s="8"/>
      <c r="C37" s="8"/>
      <c r="D37" s="8"/>
      <c r="E37" s="8"/>
      <c r="F37" s="19"/>
      <c r="G37" s="8"/>
      <c r="H37" s="6"/>
      <c r="I37" s="6"/>
    </row>
    <row r="38">
      <c r="A38" s="7"/>
      <c r="B38" s="8"/>
      <c r="C38" s="8"/>
      <c r="D38" s="8"/>
      <c r="E38" s="8"/>
      <c r="F38" s="19"/>
      <c r="G38" s="8"/>
      <c r="H38" s="6"/>
      <c r="I38" s="6"/>
    </row>
    <row r="39">
      <c r="A39" s="7"/>
      <c r="B39" s="8"/>
      <c r="C39" s="8"/>
      <c r="D39" s="8"/>
      <c r="E39" s="8"/>
      <c r="F39" s="19"/>
      <c r="G39" s="8"/>
      <c r="H39" s="6"/>
      <c r="I39" s="6"/>
    </row>
    <row r="40">
      <c r="A40" s="7"/>
      <c r="B40" s="8"/>
      <c r="C40" s="8"/>
      <c r="D40" s="8"/>
      <c r="E40" s="8"/>
      <c r="F40" s="19"/>
      <c r="G40" s="8"/>
      <c r="H40" s="6"/>
      <c r="I40" s="6"/>
    </row>
    <row r="41">
      <c r="A41" s="7"/>
      <c r="B41" s="8"/>
      <c r="C41" s="8"/>
      <c r="D41" s="8"/>
      <c r="E41" s="8"/>
      <c r="F41" s="19"/>
      <c r="G41" s="8"/>
      <c r="H41" s="6"/>
      <c r="I41" s="6"/>
    </row>
    <row r="42">
      <c r="A42" s="7"/>
      <c r="B42" s="9"/>
      <c r="C42" s="10"/>
      <c r="D42" s="10"/>
      <c r="E42" s="10"/>
      <c r="F42" s="10"/>
      <c r="G42" s="10"/>
      <c r="H42" s="11"/>
      <c r="I42" s="11"/>
    </row>
    <row r="43">
      <c r="A43" s="7"/>
      <c r="H43" s="12"/>
      <c r="I43" s="12"/>
    </row>
    <row r="44">
      <c r="A44" s="7"/>
      <c r="B44" s="13"/>
      <c r="C44" s="14"/>
      <c r="D44" s="14"/>
      <c r="E44" s="14"/>
      <c r="F44" s="14"/>
      <c r="G44" s="14"/>
      <c r="H44" s="14"/>
      <c r="I44" s="15"/>
    </row>
    <row r="45">
      <c r="A45" s="7"/>
      <c r="B45" s="5"/>
      <c r="C45" s="5"/>
      <c r="D45" s="5"/>
      <c r="E45" s="5"/>
      <c r="F45" s="6"/>
      <c r="G45" s="5"/>
      <c r="H45" s="6"/>
      <c r="I45" s="6"/>
    </row>
    <row r="46">
      <c r="A46" s="7"/>
      <c r="B46" s="5"/>
      <c r="C46" s="5"/>
      <c r="D46" s="5"/>
      <c r="E46" s="5"/>
      <c r="F46" s="6"/>
      <c r="G46" s="5"/>
      <c r="H46" s="6"/>
      <c r="I46" s="6"/>
    </row>
    <row r="47">
      <c r="A47" s="7"/>
      <c r="B47" s="5"/>
      <c r="C47" s="5"/>
      <c r="D47" s="5"/>
      <c r="E47" s="5"/>
      <c r="F47" s="6"/>
      <c r="G47" s="5"/>
      <c r="H47" s="6"/>
      <c r="I47" s="6"/>
    </row>
    <row r="48">
      <c r="A48" s="7"/>
      <c r="B48" s="5"/>
      <c r="C48" s="5"/>
      <c r="D48" s="5"/>
      <c r="E48" s="5"/>
      <c r="F48" s="6"/>
      <c r="G48" s="5"/>
      <c r="H48" s="6"/>
      <c r="I48" s="6"/>
    </row>
    <row r="49">
      <c r="A49" s="7"/>
      <c r="B49" s="5"/>
      <c r="C49" s="5"/>
      <c r="D49" s="5"/>
      <c r="E49" s="5"/>
      <c r="F49" s="6"/>
      <c r="G49" s="5"/>
      <c r="H49" s="6"/>
      <c r="I49" s="6"/>
    </row>
    <row r="50">
      <c r="A50" s="16"/>
      <c r="B50" s="5"/>
      <c r="C50" s="5"/>
      <c r="D50" s="5"/>
      <c r="E50" s="5"/>
      <c r="F50" s="6"/>
      <c r="G50" s="5"/>
      <c r="H50" s="6"/>
      <c r="I50" s="6"/>
    </row>
    <row r="51">
      <c r="H51" s="17"/>
      <c r="I51" s="17"/>
    </row>
    <row r="52">
      <c r="H52" s="12"/>
      <c r="I52" s="12"/>
    </row>
    <row r="58">
      <c r="A58" s="1" t="s">
        <v>0</v>
      </c>
      <c r="B58" s="1" t="s">
        <v>1</v>
      </c>
      <c r="C58" s="2" t="s">
        <v>2</v>
      </c>
      <c r="D58" s="2" t="s">
        <v>3</v>
      </c>
      <c r="E58" s="2" t="s">
        <v>4</v>
      </c>
      <c r="F58" s="2" t="s">
        <v>5</v>
      </c>
      <c r="G58" s="1" t="s">
        <v>6</v>
      </c>
      <c r="H58" s="3" t="s">
        <v>7</v>
      </c>
      <c r="I58" s="3" t="s">
        <v>8</v>
      </c>
    </row>
    <row r="59">
      <c r="A59" s="18" t="s">
        <v>35</v>
      </c>
      <c r="B59" s="5"/>
      <c r="C59" s="5"/>
      <c r="D59" s="5">
        <v>3.3</v>
      </c>
      <c r="E59" s="5"/>
      <c r="F59" s="6"/>
      <c r="G59" s="5"/>
      <c r="H59" s="6"/>
      <c r="I59" s="6"/>
    </row>
    <row r="60">
      <c r="A60" s="7"/>
      <c r="B60" s="5"/>
      <c r="C60" s="5"/>
      <c r="D60" s="5">
        <v>3.3</v>
      </c>
      <c r="E60" s="5"/>
      <c r="F60" s="6"/>
      <c r="G60" s="5"/>
      <c r="H60" s="6"/>
      <c r="I60" s="6"/>
    </row>
    <row r="61">
      <c r="A61" s="7"/>
      <c r="B61" s="5"/>
      <c r="C61" s="5"/>
      <c r="D61" s="5">
        <v>3.3</v>
      </c>
      <c r="E61" s="5"/>
      <c r="F61" s="6"/>
      <c r="G61" s="5"/>
      <c r="H61" s="6"/>
      <c r="I61" s="6"/>
    </row>
    <row r="62">
      <c r="A62" s="7"/>
      <c r="B62" s="5"/>
      <c r="C62" s="5"/>
      <c r="D62" s="5">
        <v>3.3</v>
      </c>
      <c r="E62" s="5"/>
      <c r="F62" s="6"/>
      <c r="G62" s="5"/>
      <c r="H62" s="6"/>
      <c r="I62" s="6"/>
    </row>
    <row r="63">
      <c r="A63" s="7"/>
      <c r="B63" s="5"/>
      <c r="C63" s="5"/>
      <c r="D63" s="5">
        <v>3.3</v>
      </c>
      <c r="E63" s="5"/>
      <c r="F63" s="6"/>
      <c r="G63" s="5"/>
      <c r="H63" s="6"/>
      <c r="I63" s="6"/>
    </row>
    <row r="64">
      <c r="A64" s="7"/>
      <c r="B64" s="5"/>
      <c r="C64" s="5"/>
      <c r="D64" s="5">
        <v>3.3</v>
      </c>
      <c r="E64" s="5"/>
      <c r="F64" s="6"/>
      <c r="G64" s="5"/>
      <c r="H64" s="6"/>
      <c r="I64" s="6"/>
    </row>
    <row r="65">
      <c r="A65" s="7"/>
      <c r="B65" s="5"/>
      <c r="C65" s="5"/>
      <c r="D65" s="5">
        <v>3.3</v>
      </c>
      <c r="E65" s="5"/>
      <c r="F65" s="6"/>
      <c r="G65" s="5"/>
      <c r="H65" s="6"/>
      <c r="I65" s="6"/>
    </row>
    <row r="66">
      <c r="A66" s="7"/>
      <c r="B66" s="5"/>
      <c r="C66" s="5"/>
      <c r="D66" s="5">
        <v>3.3</v>
      </c>
      <c r="E66" s="5"/>
      <c r="F66" s="6"/>
      <c r="G66" s="5"/>
      <c r="H66" s="6"/>
      <c r="I66" s="6"/>
    </row>
    <row r="67">
      <c r="A67" s="7"/>
      <c r="B67" s="8"/>
      <c r="C67" s="8"/>
      <c r="D67" s="5">
        <v>3.3</v>
      </c>
      <c r="E67" s="8"/>
      <c r="F67" s="19"/>
      <c r="G67" s="8"/>
      <c r="H67" s="6"/>
      <c r="I67" s="6"/>
    </row>
    <row r="68">
      <c r="A68" s="7"/>
      <c r="B68" s="9"/>
      <c r="C68" s="10"/>
      <c r="D68" s="10"/>
      <c r="E68" s="10"/>
      <c r="F68" s="10"/>
      <c r="G68" s="10"/>
      <c r="H68" s="11">
        <f t="shared" ref="H68:I68" si="9">SUM(H59:H67)/1000</f>
        <v>0</v>
      </c>
      <c r="I68" s="11">
        <f t="shared" si="9"/>
        <v>0</v>
      </c>
    </row>
    <row r="69">
      <c r="A69" s="7"/>
      <c r="H69" s="12" t="s">
        <v>30</v>
      </c>
      <c r="I69" s="12" t="s">
        <v>31</v>
      </c>
    </row>
    <row r="70">
      <c r="A70" s="7"/>
      <c r="B70" s="13"/>
      <c r="C70" s="14"/>
      <c r="D70" s="14"/>
      <c r="E70" s="14"/>
      <c r="F70" s="14"/>
      <c r="G70" s="14"/>
      <c r="H70" s="14"/>
      <c r="I70" s="15"/>
    </row>
    <row r="71">
      <c r="A71" s="7"/>
      <c r="B71" s="5"/>
      <c r="C71" s="5"/>
      <c r="D71" s="5">
        <v>5.0</v>
      </c>
      <c r="E71" s="5"/>
      <c r="F71" s="6"/>
      <c r="G71" s="5"/>
      <c r="H71" s="6"/>
      <c r="I71" s="6"/>
    </row>
    <row r="72">
      <c r="A72" s="7"/>
      <c r="B72" s="5"/>
      <c r="C72" s="5"/>
      <c r="D72" s="5">
        <v>5.0</v>
      </c>
      <c r="E72" s="5"/>
      <c r="F72" s="6"/>
      <c r="G72" s="5"/>
      <c r="H72" s="6"/>
      <c r="I72" s="6"/>
    </row>
    <row r="73">
      <c r="A73" s="16"/>
      <c r="B73" s="5"/>
      <c r="C73" s="5"/>
      <c r="D73" s="5">
        <v>5.0</v>
      </c>
      <c r="E73" s="5"/>
      <c r="F73" s="6"/>
      <c r="G73" s="5"/>
      <c r="H73" s="6"/>
      <c r="I73" s="6"/>
    </row>
    <row r="74">
      <c r="H74" s="17">
        <f t="shared" ref="H74:I74" si="10">SUM(H71:H73)/1000</f>
        <v>0</v>
      </c>
      <c r="I74" s="17">
        <f t="shared" si="10"/>
        <v>0</v>
      </c>
    </row>
    <row r="75">
      <c r="H75" s="12" t="s">
        <v>30</v>
      </c>
      <c r="I75" s="12" t="s">
        <v>31</v>
      </c>
    </row>
    <row r="80">
      <c r="A80" s="1" t="s">
        <v>0</v>
      </c>
      <c r="B80" s="1" t="s">
        <v>1</v>
      </c>
      <c r="C80" s="2" t="s">
        <v>2</v>
      </c>
      <c r="D80" s="2" t="s">
        <v>3</v>
      </c>
      <c r="E80" s="2" t="s">
        <v>4</v>
      </c>
      <c r="F80" s="2" t="s">
        <v>5</v>
      </c>
      <c r="G80" s="1" t="s">
        <v>6</v>
      </c>
      <c r="H80" s="3" t="s">
        <v>7</v>
      </c>
      <c r="I80" s="3" t="s">
        <v>8</v>
      </c>
    </row>
    <row r="81">
      <c r="A81" s="18" t="s">
        <v>36</v>
      </c>
      <c r="B81" s="5"/>
      <c r="C81" s="5"/>
      <c r="D81" s="5">
        <v>3.3</v>
      </c>
      <c r="E81" s="5"/>
      <c r="F81" s="6"/>
      <c r="G81" s="5"/>
      <c r="H81" s="6"/>
      <c r="I81" s="6"/>
    </row>
    <row r="82">
      <c r="A82" s="7"/>
      <c r="B82" s="5"/>
      <c r="C82" s="5"/>
      <c r="D82" s="5">
        <v>3.3</v>
      </c>
      <c r="E82" s="5"/>
      <c r="F82" s="6"/>
      <c r="G82" s="5"/>
      <c r="H82" s="6"/>
      <c r="I82" s="6"/>
    </row>
    <row r="83">
      <c r="A83" s="7"/>
      <c r="B83" s="5"/>
      <c r="C83" s="5"/>
      <c r="D83" s="5">
        <v>3.3</v>
      </c>
      <c r="E83" s="5"/>
      <c r="F83" s="6"/>
      <c r="G83" s="5"/>
      <c r="H83" s="6"/>
      <c r="I83" s="6"/>
    </row>
    <row r="84">
      <c r="A84" s="7"/>
      <c r="B84" s="5"/>
      <c r="C84" s="5"/>
      <c r="D84" s="5">
        <v>3.3</v>
      </c>
      <c r="E84" s="5"/>
      <c r="F84" s="6"/>
      <c r="G84" s="5"/>
      <c r="H84" s="6"/>
      <c r="I84" s="6"/>
    </row>
    <row r="85">
      <c r="A85" s="7"/>
      <c r="B85" s="5"/>
      <c r="C85" s="5"/>
      <c r="D85" s="5">
        <v>3.3</v>
      </c>
      <c r="E85" s="5"/>
      <c r="F85" s="6"/>
      <c r="G85" s="5"/>
      <c r="H85" s="6"/>
      <c r="I85" s="6"/>
    </row>
    <row r="86">
      <c r="A86" s="7"/>
      <c r="B86" s="5"/>
      <c r="C86" s="5"/>
      <c r="D86" s="5">
        <v>3.3</v>
      </c>
      <c r="E86" s="5"/>
      <c r="F86" s="6"/>
      <c r="G86" s="5"/>
      <c r="H86" s="6"/>
      <c r="I86" s="6"/>
    </row>
    <row r="87">
      <c r="A87" s="7"/>
      <c r="B87" s="5"/>
      <c r="C87" s="5"/>
      <c r="D87" s="5">
        <v>3.3</v>
      </c>
      <c r="E87" s="5"/>
      <c r="F87" s="6"/>
      <c r="G87" s="5"/>
      <c r="H87" s="6"/>
      <c r="I87" s="6"/>
    </row>
    <row r="88">
      <c r="A88" s="7"/>
      <c r="B88" s="5"/>
      <c r="C88" s="5"/>
      <c r="D88" s="5">
        <v>3.3</v>
      </c>
      <c r="E88" s="5"/>
      <c r="F88" s="6"/>
      <c r="G88" s="5"/>
      <c r="H88" s="6"/>
      <c r="I88" s="6"/>
    </row>
    <row r="89">
      <c r="A89" s="7"/>
      <c r="B89" s="8"/>
      <c r="C89" s="8"/>
      <c r="D89" s="5">
        <v>3.3</v>
      </c>
      <c r="E89" s="8"/>
      <c r="F89" s="19"/>
      <c r="G89" s="8"/>
      <c r="H89" s="6"/>
      <c r="I89" s="6"/>
    </row>
    <row r="90">
      <c r="A90" s="7"/>
      <c r="B90" s="9"/>
      <c r="C90" s="10"/>
      <c r="D90" s="10"/>
      <c r="E90" s="10"/>
      <c r="F90" s="10"/>
      <c r="G90" s="10"/>
      <c r="H90" s="11">
        <f t="shared" ref="H90:I90" si="11">SUM(H81:H89)/1000</f>
        <v>0</v>
      </c>
      <c r="I90" s="11">
        <f t="shared" si="11"/>
        <v>0</v>
      </c>
    </row>
    <row r="91">
      <c r="A91" s="7"/>
      <c r="H91" s="12" t="s">
        <v>30</v>
      </c>
      <c r="I91" s="12" t="s">
        <v>31</v>
      </c>
    </row>
    <row r="92">
      <c r="A92" s="7"/>
      <c r="B92" s="13"/>
      <c r="C92" s="14"/>
      <c r="D92" s="14"/>
      <c r="E92" s="14"/>
      <c r="F92" s="14"/>
      <c r="G92" s="14"/>
      <c r="H92" s="14"/>
      <c r="I92" s="15"/>
    </row>
    <row r="93">
      <c r="A93" s="7"/>
      <c r="B93" s="5"/>
      <c r="C93" s="5"/>
      <c r="D93" s="5">
        <v>5.0</v>
      </c>
      <c r="E93" s="5"/>
      <c r="F93" s="6"/>
      <c r="G93" s="5"/>
      <c r="H93" s="6"/>
      <c r="I93" s="6"/>
    </row>
    <row r="94">
      <c r="A94" s="7"/>
      <c r="B94" s="5"/>
      <c r="C94" s="5"/>
      <c r="D94" s="5">
        <v>5.0</v>
      </c>
      <c r="E94" s="5"/>
      <c r="F94" s="6"/>
      <c r="G94" s="5"/>
      <c r="H94" s="6"/>
      <c r="I94" s="6"/>
    </row>
    <row r="95">
      <c r="A95" s="16"/>
      <c r="B95" s="5"/>
      <c r="C95" s="5"/>
      <c r="D95" s="5">
        <v>5.0</v>
      </c>
      <c r="E95" s="5"/>
      <c r="F95" s="6"/>
      <c r="G95" s="5"/>
      <c r="H95" s="6"/>
      <c r="I95" s="6"/>
    </row>
    <row r="96">
      <c r="H96" s="17">
        <f t="shared" ref="H96:I96" si="12">SUM(H93:H95)/1000</f>
        <v>0</v>
      </c>
      <c r="I96" s="17">
        <f t="shared" si="12"/>
        <v>0</v>
      </c>
    </row>
    <row r="97">
      <c r="H97" s="12" t="s">
        <v>30</v>
      </c>
      <c r="I97" s="12" t="s">
        <v>31</v>
      </c>
    </row>
    <row r="102">
      <c r="A102" s="1" t="s">
        <v>0</v>
      </c>
      <c r="B102" s="1" t="s">
        <v>1</v>
      </c>
      <c r="C102" s="2" t="s">
        <v>2</v>
      </c>
      <c r="D102" s="2" t="s">
        <v>3</v>
      </c>
      <c r="E102" s="2" t="s">
        <v>4</v>
      </c>
      <c r="F102" s="2" t="s">
        <v>5</v>
      </c>
      <c r="G102" s="1" t="s">
        <v>6</v>
      </c>
      <c r="H102" s="3" t="s">
        <v>7</v>
      </c>
      <c r="I102" s="3" t="s">
        <v>8</v>
      </c>
    </row>
    <row r="103">
      <c r="A103" s="18" t="s">
        <v>37</v>
      </c>
      <c r="B103" s="5"/>
      <c r="C103" s="5"/>
      <c r="D103" s="5"/>
      <c r="E103" s="5"/>
      <c r="F103" s="6"/>
      <c r="G103" s="5"/>
      <c r="H103" s="6"/>
      <c r="I103" s="6"/>
    </row>
    <row r="104">
      <c r="A104" s="7"/>
      <c r="B104" s="5"/>
      <c r="C104" s="5"/>
      <c r="D104" s="5"/>
      <c r="E104" s="5"/>
      <c r="F104" s="6"/>
      <c r="G104" s="5"/>
      <c r="H104" s="6"/>
      <c r="I104" s="6"/>
    </row>
    <row r="105">
      <c r="A105" s="7"/>
      <c r="B105" s="5"/>
      <c r="C105" s="5"/>
      <c r="D105" s="5"/>
      <c r="E105" s="5"/>
      <c r="F105" s="6"/>
      <c r="G105" s="5"/>
      <c r="H105" s="6"/>
      <c r="I105" s="6"/>
    </row>
    <row r="106">
      <c r="A106" s="7"/>
      <c r="B106" s="5"/>
      <c r="C106" s="5"/>
      <c r="D106" s="5"/>
      <c r="E106" s="5"/>
      <c r="F106" s="6"/>
      <c r="G106" s="5"/>
      <c r="H106" s="6"/>
      <c r="I106" s="6"/>
    </row>
    <row r="107">
      <c r="A107" s="7"/>
      <c r="B107" s="5"/>
      <c r="C107" s="5"/>
      <c r="D107" s="5"/>
      <c r="E107" s="5"/>
      <c r="F107" s="6"/>
      <c r="G107" s="5"/>
      <c r="H107" s="6"/>
      <c r="I107" s="6"/>
    </row>
    <row r="108">
      <c r="A108" s="7"/>
      <c r="B108" s="5"/>
      <c r="C108" s="5"/>
      <c r="D108" s="5"/>
      <c r="E108" s="5"/>
      <c r="F108" s="6"/>
      <c r="G108" s="5"/>
      <c r="H108" s="6"/>
      <c r="I108" s="6"/>
    </row>
    <row r="109">
      <c r="A109" s="7"/>
      <c r="B109" s="5"/>
      <c r="C109" s="5"/>
      <c r="D109" s="5"/>
      <c r="E109" s="5"/>
      <c r="F109" s="6"/>
      <c r="G109" s="5"/>
      <c r="H109" s="6"/>
      <c r="I109" s="6"/>
    </row>
    <row r="110">
      <c r="A110" s="7"/>
      <c r="B110" s="5"/>
      <c r="C110" s="5"/>
      <c r="D110" s="5"/>
      <c r="E110" s="5"/>
      <c r="F110" s="6"/>
      <c r="G110" s="5"/>
      <c r="H110" s="6"/>
      <c r="I110" s="6"/>
    </row>
    <row r="111">
      <c r="A111" s="7"/>
      <c r="B111" s="8"/>
      <c r="C111" s="8"/>
      <c r="D111" s="8"/>
      <c r="E111" s="8"/>
      <c r="F111" s="19"/>
      <c r="G111" s="8"/>
      <c r="H111" s="6"/>
      <c r="I111" s="6"/>
    </row>
    <row r="112">
      <c r="A112" s="7"/>
      <c r="B112" s="9"/>
      <c r="C112" s="10"/>
      <c r="D112" s="10"/>
      <c r="E112" s="10"/>
      <c r="F112" s="10"/>
      <c r="G112" s="10"/>
      <c r="H112" s="11">
        <f t="shared" ref="H112:I112" si="13">SUM(H103:H111)/1000</f>
        <v>0</v>
      </c>
      <c r="I112" s="11">
        <f t="shared" si="13"/>
        <v>0</v>
      </c>
    </row>
    <row r="113">
      <c r="A113" s="7"/>
      <c r="H113" s="12" t="s">
        <v>30</v>
      </c>
      <c r="I113" s="12" t="s">
        <v>31</v>
      </c>
    </row>
    <row r="114">
      <c r="A114" s="7"/>
      <c r="B114" s="13"/>
      <c r="C114" s="14"/>
      <c r="D114" s="14"/>
      <c r="E114" s="14"/>
      <c r="F114" s="14"/>
      <c r="G114" s="14"/>
      <c r="H114" s="14"/>
      <c r="I114" s="15"/>
    </row>
    <row r="115">
      <c r="A115" s="7"/>
      <c r="B115" s="5"/>
      <c r="C115" s="5"/>
      <c r="D115" s="5"/>
      <c r="E115" s="5"/>
      <c r="F115" s="6"/>
      <c r="G115" s="5"/>
      <c r="H115" s="6"/>
      <c r="I115" s="6"/>
    </row>
    <row r="116">
      <c r="A116" s="7"/>
      <c r="B116" s="5"/>
      <c r="C116" s="5"/>
      <c r="D116" s="5"/>
      <c r="E116" s="5"/>
      <c r="F116" s="6"/>
      <c r="G116" s="5"/>
      <c r="H116" s="6"/>
      <c r="I116" s="6"/>
    </row>
    <row r="117">
      <c r="A117" s="16"/>
      <c r="B117" s="5"/>
      <c r="C117" s="5"/>
      <c r="D117" s="5"/>
      <c r="E117" s="5"/>
      <c r="F117" s="6"/>
      <c r="G117" s="5"/>
      <c r="H117" s="6"/>
      <c r="I117" s="6"/>
    </row>
    <row r="118">
      <c r="H118" s="17">
        <f t="shared" ref="H118:I118" si="14">SUM(H115:H117)/1000</f>
        <v>0</v>
      </c>
      <c r="I118" s="17">
        <f t="shared" si="14"/>
        <v>0</v>
      </c>
    </row>
    <row r="119">
      <c r="H119" s="12" t="s">
        <v>30</v>
      </c>
      <c r="I119" s="12" t="s">
        <v>31</v>
      </c>
    </row>
    <row r="123">
      <c r="A123" s="1" t="s">
        <v>0</v>
      </c>
      <c r="B123" s="1" t="s">
        <v>1</v>
      </c>
      <c r="C123" s="2" t="s">
        <v>2</v>
      </c>
      <c r="D123" s="2" t="s">
        <v>3</v>
      </c>
      <c r="E123" s="2" t="s">
        <v>4</v>
      </c>
      <c r="F123" s="2" t="s">
        <v>5</v>
      </c>
      <c r="G123" s="1" t="s">
        <v>6</v>
      </c>
      <c r="H123" s="3" t="s">
        <v>7</v>
      </c>
      <c r="I123" s="3" t="s">
        <v>8</v>
      </c>
    </row>
    <row r="124">
      <c r="A124" s="18" t="s">
        <v>38</v>
      </c>
      <c r="B124" s="5"/>
      <c r="C124" s="5"/>
      <c r="D124" s="5"/>
      <c r="E124" s="5"/>
      <c r="F124" s="6"/>
      <c r="G124" s="5"/>
      <c r="H124" s="6"/>
      <c r="I124" s="6"/>
    </row>
    <row r="125">
      <c r="A125" s="7"/>
      <c r="B125" s="5"/>
      <c r="C125" s="5"/>
      <c r="D125" s="5"/>
      <c r="E125" s="5"/>
      <c r="F125" s="6"/>
      <c r="G125" s="5"/>
      <c r="H125" s="6"/>
      <c r="I125" s="6"/>
    </row>
    <row r="126">
      <c r="A126" s="7"/>
      <c r="B126" s="5"/>
      <c r="C126" s="5"/>
      <c r="D126" s="5"/>
      <c r="E126" s="5"/>
      <c r="F126" s="6"/>
      <c r="G126" s="5"/>
      <c r="H126" s="6"/>
      <c r="I126" s="6"/>
    </row>
    <row r="127">
      <c r="A127" s="7"/>
      <c r="B127" s="5"/>
      <c r="C127" s="5"/>
      <c r="D127" s="5"/>
      <c r="E127" s="5"/>
      <c r="F127" s="6"/>
      <c r="G127" s="5"/>
      <c r="H127" s="6"/>
      <c r="I127" s="6"/>
    </row>
    <row r="128">
      <c r="A128" s="7"/>
      <c r="B128" s="5"/>
      <c r="C128" s="5"/>
      <c r="D128" s="5"/>
      <c r="E128" s="5"/>
      <c r="F128" s="6"/>
      <c r="G128" s="5"/>
      <c r="H128" s="6"/>
      <c r="I128" s="6"/>
    </row>
    <row r="129">
      <c r="A129" s="7"/>
      <c r="B129" s="5"/>
      <c r="C129" s="5"/>
      <c r="D129" s="5"/>
      <c r="E129" s="5"/>
      <c r="F129" s="6"/>
      <c r="G129" s="5"/>
      <c r="H129" s="6"/>
      <c r="I129" s="6"/>
    </row>
    <row r="130">
      <c r="A130" s="7"/>
      <c r="B130" s="5"/>
      <c r="C130" s="5"/>
      <c r="D130" s="5"/>
      <c r="E130" s="5"/>
      <c r="F130" s="6"/>
      <c r="G130" s="5"/>
      <c r="H130" s="6"/>
      <c r="I130" s="6"/>
    </row>
    <row r="131">
      <c r="A131" s="7"/>
      <c r="B131" s="5"/>
      <c r="C131" s="5"/>
      <c r="D131" s="5"/>
      <c r="E131" s="5"/>
      <c r="F131" s="6"/>
      <c r="G131" s="5"/>
      <c r="H131" s="6"/>
      <c r="I131" s="6"/>
    </row>
    <row r="132">
      <c r="A132" s="7"/>
      <c r="B132" s="8"/>
      <c r="C132" s="8"/>
      <c r="D132" s="8"/>
      <c r="E132" s="8"/>
      <c r="F132" s="19"/>
      <c r="G132" s="8"/>
      <c r="H132" s="6"/>
      <c r="I132" s="6"/>
    </row>
    <row r="133">
      <c r="A133" s="7"/>
      <c r="B133" s="9"/>
      <c r="C133" s="10"/>
      <c r="D133" s="10"/>
      <c r="E133" s="10"/>
      <c r="F133" s="10"/>
      <c r="G133" s="10"/>
      <c r="H133" s="11">
        <f t="shared" ref="H133:I133" si="15">SUM(H124:H132)/1000</f>
        <v>0</v>
      </c>
      <c r="I133" s="11">
        <f t="shared" si="15"/>
        <v>0</v>
      </c>
    </row>
    <row r="134">
      <c r="A134" s="7"/>
      <c r="H134" s="12" t="s">
        <v>30</v>
      </c>
      <c r="I134" s="12" t="s">
        <v>31</v>
      </c>
    </row>
    <row r="135">
      <c r="A135" s="7"/>
      <c r="B135" s="13"/>
      <c r="C135" s="14"/>
      <c r="D135" s="14"/>
      <c r="E135" s="14"/>
      <c r="F135" s="14"/>
      <c r="G135" s="14"/>
      <c r="H135" s="14"/>
      <c r="I135" s="15"/>
    </row>
    <row r="136">
      <c r="A136" s="7"/>
      <c r="B136" s="5"/>
      <c r="C136" s="5"/>
      <c r="D136" s="5"/>
      <c r="E136" s="5"/>
      <c r="F136" s="6"/>
      <c r="G136" s="5"/>
      <c r="H136" s="6"/>
      <c r="I136" s="6"/>
    </row>
    <row r="137">
      <c r="A137" s="7"/>
      <c r="B137" s="5"/>
      <c r="C137" s="5"/>
      <c r="D137" s="5"/>
      <c r="E137" s="5"/>
      <c r="F137" s="6"/>
      <c r="G137" s="5"/>
      <c r="H137" s="6"/>
      <c r="I137" s="6"/>
    </row>
    <row r="138">
      <c r="A138" s="16"/>
      <c r="B138" s="5"/>
      <c r="C138" s="5"/>
      <c r="D138" s="5"/>
      <c r="E138" s="5"/>
      <c r="F138" s="6"/>
      <c r="G138" s="5"/>
      <c r="H138" s="6"/>
      <c r="I138" s="6"/>
    </row>
    <row r="139">
      <c r="H139" s="17">
        <f t="shared" ref="H139:I139" si="16">SUM(H136:H138)/1000</f>
        <v>0</v>
      </c>
      <c r="I139" s="17">
        <f t="shared" si="16"/>
        <v>0</v>
      </c>
    </row>
    <row r="140">
      <c r="H140" s="12" t="s">
        <v>30</v>
      </c>
      <c r="I140" s="12" t="s">
        <v>31</v>
      </c>
    </row>
    <row r="144">
      <c r="A144" s="1" t="s">
        <v>0</v>
      </c>
      <c r="B144" s="1" t="s">
        <v>1</v>
      </c>
      <c r="C144" s="2" t="s">
        <v>2</v>
      </c>
      <c r="D144" s="2" t="s">
        <v>3</v>
      </c>
      <c r="E144" s="2" t="s">
        <v>4</v>
      </c>
      <c r="F144" s="2" t="s">
        <v>5</v>
      </c>
      <c r="G144" s="1" t="s">
        <v>6</v>
      </c>
      <c r="H144" s="3" t="s">
        <v>7</v>
      </c>
      <c r="I144" s="3" t="s">
        <v>8</v>
      </c>
    </row>
    <row r="145">
      <c r="A145" s="18" t="s">
        <v>39</v>
      </c>
      <c r="B145" s="5"/>
      <c r="C145" s="5"/>
      <c r="D145" s="5"/>
      <c r="E145" s="5"/>
      <c r="F145" s="6"/>
      <c r="G145" s="5"/>
      <c r="H145" s="6"/>
      <c r="I145" s="6"/>
    </row>
    <row r="146">
      <c r="A146" s="7"/>
      <c r="B146" s="5"/>
      <c r="C146" s="5"/>
      <c r="D146" s="5"/>
      <c r="E146" s="5"/>
      <c r="F146" s="6"/>
      <c r="G146" s="5"/>
      <c r="H146" s="6"/>
      <c r="I146" s="6"/>
    </row>
    <row r="147">
      <c r="A147" s="7"/>
      <c r="B147" s="5"/>
      <c r="C147" s="5"/>
      <c r="D147" s="5"/>
      <c r="E147" s="5"/>
      <c r="F147" s="6"/>
      <c r="G147" s="5"/>
      <c r="H147" s="6"/>
      <c r="I147" s="6"/>
    </row>
    <row r="148">
      <c r="A148" s="7"/>
      <c r="B148" s="5"/>
      <c r="C148" s="5"/>
      <c r="D148" s="5"/>
      <c r="E148" s="5"/>
      <c r="F148" s="6"/>
      <c r="G148" s="5"/>
      <c r="H148" s="6"/>
      <c r="I148" s="6"/>
    </row>
    <row r="149">
      <c r="A149" s="7"/>
      <c r="B149" s="5"/>
      <c r="C149" s="5"/>
      <c r="D149" s="5"/>
      <c r="E149" s="5"/>
      <c r="F149" s="6"/>
      <c r="G149" s="5"/>
      <c r="H149" s="6"/>
      <c r="I149" s="6"/>
    </row>
    <row r="150">
      <c r="A150" s="7"/>
      <c r="B150" s="5"/>
      <c r="C150" s="5"/>
      <c r="D150" s="5"/>
      <c r="E150" s="5"/>
      <c r="F150" s="6"/>
      <c r="G150" s="5"/>
      <c r="H150" s="6"/>
      <c r="I150" s="6"/>
    </row>
    <row r="151">
      <c r="A151" s="7"/>
      <c r="B151" s="5"/>
      <c r="C151" s="5"/>
      <c r="D151" s="5"/>
      <c r="E151" s="5"/>
      <c r="F151" s="6"/>
      <c r="G151" s="5"/>
      <c r="H151" s="6"/>
      <c r="I151" s="6"/>
    </row>
    <row r="152">
      <c r="A152" s="7"/>
      <c r="B152" s="5"/>
      <c r="C152" s="5"/>
      <c r="D152" s="5"/>
      <c r="E152" s="5"/>
      <c r="F152" s="6"/>
      <c r="G152" s="5"/>
      <c r="H152" s="6"/>
      <c r="I152" s="6"/>
    </row>
    <row r="153">
      <c r="A153" s="7"/>
      <c r="B153" s="8"/>
      <c r="C153" s="8"/>
      <c r="D153" s="8"/>
      <c r="E153" s="8"/>
      <c r="F153" s="19"/>
      <c r="G153" s="8"/>
      <c r="H153" s="6"/>
      <c r="I153" s="6"/>
    </row>
    <row r="154">
      <c r="A154" s="7"/>
      <c r="B154" s="9"/>
      <c r="C154" s="10"/>
      <c r="D154" s="10"/>
      <c r="E154" s="10"/>
      <c r="F154" s="10"/>
      <c r="G154" s="10"/>
      <c r="H154" s="11">
        <f t="shared" ref="H154:I154" si="17">SUM(H145:H153)/1000</f>
        <v>0</v>
      </c>
      <c r="I154" s="11">
        <f t="shared" si="17"/>
        <v>0</v>
      </c>
    </row>
    <row r="155">
      <c r="A155" s="7"/>
      <c r="H155" s="12" t="s">
        <v>30</v>
      </c>
      <c r="I155" s="12" t="s">
        <v>31</v>
      </c>
    </row>
    <row r="156">
      <c r="A156" s="7"/>
      <c r="B156" s="13"/>
      <c r="C156" s="14"/>
      <c r="D156" s="14"/>
      <c r="E156" s="14"/>
      <c r="F156" s="14"/>
      <c r="G156" s="14"/>
      <c r="H156" s="14"/>
      <c r="I156" s="15"/>
    </row>
    <row r="157">
      <c r="A157" s="7"/>
      <c r="B157" s="5"/>
      <c r="C157" s="5"/>
      <c r="D157" s="5"/>
      <c r="E157" s="5"/>
      <c r="F157" s="6"/>
      <c r="G157" s="5"/>
      <c r="H157" s="6"/>
      <c r="I157" s="6"/>
    </row>
    <row r="158">
      <c r="A158" s="7"/>
      <c r="B158" s="5"/>
      <c r="C158" s="5"/>
      <c r="D158" s="5"/>
      <c r="E158" s="5"/>
      <c r="F158" s="6"/>
      <c r="G158" s="5"/>
      <c r="H158" s="6"/>
      <c r="I158" s="6"/>
    </row>
    <row r="159">
      <c r="A159" s="16"/>
      <c r="B159" s="5"/>
      <c r="C159" s="5"/>
      <c r="D159" s="5"/>
      <c r="E159" s="5"/>
      <c r="F159" s="6"/>
      <c r="G159" s="5"/>
      <c r="H159" s="6"/>
      <c r="I159" s="6"/>
    </row>
    <row r="160">
      <c r="H160" s="17">
        <f t="shared" ref="H160:I160" si="18">SUM(H157:H159)/1000</f>
        <v>0</v>
      </c>
      <c r="I160" s="17">
        <f t="shared" si="18"/>
        <v>0</v>
      </c>
    </row>
    <row r="161">
      <c r="H161" s="12" t="s">
        <v>30</v>
      </c>
      <c r="I161" s="12" t="s">
        <v>31</v>
      </c>
    </row>
    <row r="166">
      <c r="A166" s="1" t="s">
        <v>0</v>
      </c>
      <c r="B166" s="1" t="s">
        <v>1</v>
      </c>
      <c r="C166" s="2" t="s">
        <v>2</v>
      </c>
      <c r="D166" s="2" t="s">
        <v>3</v>
      </c>
      <c r="E166" s="2" t="s">
        <v>4</v>
      </c>
      <c r="F166" s="2" t="s">
        <v>5</v>
      </c>
      <c r="G166" s="1" t="s">
        <v>6</v>
      </c>
      <c r="H166" s="3" t="s">
        <v>7</v>
      </c>
      <c r="I166" s="3" t="s">
        <v>8</v>
      </c>
    </row>
    <row r="167">
      <c r="A167" s="18" t="s">
        <v>40</v>
      </c>
      <c r="B167" s="5"/>
      <c r="C167" s="5"/>
      <c r="D167" s="5"/>
      <c r="E167" s="5"/>
      <c r="F167" s="6"/>
      <c r="G167" s="5"/>
      <c r="H167" s="6"/>
      <c r="I167" s="6"/>
    </row>
    <row r="168">
      <c r="A168" s="7"/>
      <c r="B168" s="5"/>
      <c r="C168" s="5"/>
      <c r="D168" s="5"/>
      <c r="E168" s="5"/>
      <c r="F168" s="6"/>
      <c r="G168" s="5"/>
      <c r="H168" s="6"/>
      <c r="I168" s="6"/>
    </row>
    <row r="169">
      <c r="A169" s="7"/>
      <c r="B169" s="5"/>
      <c r="C169" s="5"/>
      <c r="D169" s="5"/>
      <c r="E169" s="5"/>
      <c r="F169" s="6"/>
      <c r="G169" s="5"/>
      <c r="H169" s="6"/>
      <c r="I169" s="6"/>
    </row>
    <row r="170">
      <c r="A170" s="7"/>
      <c r="B170" s="5"/>
      <c r="C170" s="5"/>
      <c r="D170" s="5"/>
      <c r="E170" s="5"/>
      <c r="F170" s="6"/>
      <c r="G170" s="5"/>
      <c r="H170" s="6"/>
      <c r="I170" s="6"/>
    </row>
    <row r="171">
      <c r="A171" s="7"/>
      <c r="B171" s="5"/>
      <c r="C171" s="5"/>
      <c r="D171" s="5"/>
      <c r="E171" s="5"/>
      <c r="F171" s="6"/>
      <c r="G171" s="5"/>
      <c r="H171" s="6"/>
      <c r="I171" s="6"/>
    </row>
    <row r="172">
      <c r="A172" s="7"/>
      <c r="B172" s="5"/>
      <c r="C172" s="5"/>
      <c r="D172" s="5"/>
      <c r="E172" s="5"/>
      <c r="F172" s="6"/>
      <c r="G172" s="5"/>
      <c r="H172" s="6"/>
      <c r="I172" s="6"/>
    </row>
    <row r="173">
      <c r="A173" s="7"/>
      <c r="B173" s="5"/>
      <c r="C173" s="5"/>
      <c r="D173" s="5"/>
      <c r="E173" s="5"/>
      <c r="F173" s="6"/>
      <c r="G173" s="5"/>
      <c r="H173" s="6"/>
      <c r="I173" s="6"/>
    </row>
    <row r="174">
      <c r="A174" s="7"/>
      <c r="B174" s="5"/>
      <c r="C174" s="5"/>
      <c r="D174" s="5"/>
      <c r="E174" s="5"/>
      <c r="F174" s="6"/>
      <c r="G174" s="5"/>
      <c r="H174" s="6"/>
      <c r="I174" s="6"/>
    </row>
    <row r="175">
      <c r="A175" s="7"/>
      <c r="B175" s="8"/>
      <c r="C175" s="8"/>
      <c r="D175" s="8"/>
      <c r="E175" s="8"/>
      <c r="F175" s="19"/>
      <c r="G175" s="8"/>
      <c r="H175" s="6"/>
      <c r="I175" s="6"/>
    </row>
    <row r="176">
      <c r="A176" s="7"/>
      <c r="B176" s="9"/>
      <c r="C176" s="10"/>
      <c r="D176" s="10"/>
      <c r="E176" s="10"/>
      <c r="F176" s="10"/>
      <c r="G176" s="10"/>
      <c r="H176" s="11">
        <f t="shared" ref="H176:I176" si="19">SUM(H167:H175)/1000</f>
        <v>0</v>
      </c>
      <c r="I176" s="11">
        <f t="shared" si="19"/>
        <v>0</v>
      </c>
    </row>
    <row r="177">
      <c r="A177" s="7"/>
      <c r="H177" s="12" t="s">
        <v>30</v>
      </c>
      <c r="I177" s="12" t="s">
        <v>31</v>
      </c>
    </row>
    <row r="178">
      <c r="A178" s="7"/>
      <c r="B178" s="13"/>
      <c r="C178" s="14"/>
      <c r="D178" s="14"/>
      <c r="E178" s="14"/>
      <c r="F178" s="14"/>
      <c r="G178" s="14"/>
      <c r="H178" s="14"/>
      <c r="I178" s="15"/>
    </row>
    <row r="179">
      <c r="A179" s="7"/>
      <c r="B179" s="5"/>
      <c r="C179" s="5"/>
      <c r="D179" s="5"/>
      <c r="E179" s="5"/>
      <c r="F179" s="6"/>
      <c r="G179" s="5"/>
      <c r="H179" s="6"/>
      <c r="I179" s="6"/>
    </row>
    <row r="180">
      <c r="A180" s="7"/>
      <c r="B180" s="5"/>
      <c r="C180" s="5"/>
      <c r="D180" s="5"/>
      <c r="E180" s="5"/>
      <c r="F180" s="6"/>
      <c r="G180" s="5"/>
      <c r="H180" s="6"/>
      <c r="I180" s="6"/>
    </row>
    <row r="181">
      <c r="A181" s="16"/>
      <c r="B181" s="5"/>
      <c r="C181" s="5"/>
      <c r="D181" s="5"/>
      <c r="E181" s="5"/>
      <c r="F181" s="6"/>
      <c r="G181" s="5"/>
      <c r="H181" s="6"/>
      <c r="I181" s="6"/>
    </row>
    <row r="182">
      <c r="H182" s="17">
        <f t="shared" ref="H182:I182" si="20">SUM(H179:H181)/1000</f>
        <v>0</v>
      </c>
      <c r="I182" s="17">
        <f t="shared" si="20"/>
        <v>0</v>
      </c>
    </row>
    <row r="183">
      <c r="H183" s="12" t="s">
        <v>30</v>
      </c>
      <c r="I183" s="12" t="s">
        <v>31</v>
      </c>
    </row>
  </sheetData>
  <mergeCells count="32">
    <mergeCell ref="A29:A50"/>
    <mergeCell ref="A59:A73"/>
    <mergeCell ref="A81:A95"/>
    <mergeCell ref="A103:A117"/>
    <mergeCell ref="A124:A138"/>
    <mergeCell ref="A145:A159"/>
    <mergeCell ref="A167:A181"/>
    <mergeCell ref="A7:A22"/>
    <mergeCell ref="B17:G18"/>
    <mergeCell ref="B19:I19"/>
    <mergeCell ref="F23:G23"/>
    <mergeCell ref="B42:G43"/>
    <mergeCell ref="B44:I44"/>
    <mergeCell ref="F51:G51"/>
    <mergeCell ref="B68:G69"/>
    <mergeCell ref="B70:I70"/>
    <mergeCell ref="F74:G74"/>
    <mergeCell ref="B90:G91"/>
    <mergeCell ref="B92:I92"/>
    <mergeCell ref="F96:G96"/>
    <mergeCell ref="B114:I114"/>
    <mergeCell ref="F160:G160"/>
    <mergeCell ref="B176:G177"/>
    <mergeCell ref="B178:I178"/>
    <mergeCell ref="F182:G182"/>
    <mergeCell ref="B112:G113"/>
    <mergeCell ref="F118:G118"/>
    <mergeCell ref="B133:G134"/>
    <mergeCell ref="B135:I135"/>
    <mergeCell ref="F139:G139"/>
    <mergeCell ref="B154:G155"/>
    <mergeCell ref="B156:I156"/>
  </mergeCells>
  <drawing r:id="rId1"/>
</worksheet>
</file>